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6_Advanced_Data_Analysis-20260211T112923Z-1-001\6_Advanced_Data_Analysis\"/>
    </mc:Choice>
  </mc:AlternateContent>
  <xr:revisionPtr revIDLastSave="0" documentId="13_ncr:1_{1D6F69B7-B388-4E4F-B7DD-DDAC073A3BD9}" xr6:coauthVersionLast="47" xr6:coauthVersionMax="47" xr10:uidLastSave="{00000000-0000-0000-0000-000000000000}"/>
  <bookViews>
    <workbookView xWindow="-108" yWindow="-108" windowWidth="23256" windowHeight="12456" activeTab="6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Answer Report 1" sheetId="26" state="hidden" r:id="rId4"/>
    <sheet name="Sensitivity Report 1" sheetId="27" state="hidden" r:id="rId5"/>
    <sheet name="Limits Report 1" sheetId="28" state="hidden" r:id="rId6"/>
    <sheet name="Answer Report 2" sheetId="29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</definedName>
    <definedName name="solver_rhs2" localSheetId="7" hidden="1">0.05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5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420" i="16"/>
  <c r="C412" i="16"/>
  <c r="C404" i="16"/>
  <c r="C396" i="16"/>
  <c r="C388" i="16"/>
  <c r="C380" i="16"/>
  <c r="C372" i="16"/>
  <c r="C427" i="16"/>
  <c r="C419" i="16"/>
  <c r="C411" i="16"/>
  <c r="C403" i="16"/>
  <c r="C395" i="16"/>
  <c r="C387" i="16"/>
  <c r="C379" i="16"/>
  <c r="C371" i="16"/>
  <c r="C422" i="16"/>
  <c r="C398" i="16"/>
  <c r="C374" i="16"/>
  <c r="C413" i="16"/>
  <c r="C389" i="16"/>
  <c r="C426" i="16"/>
  <c r="C418" i="16"/>
  <c r="C410" i="16"/>
  <c r="C402" i="16"/>
  <c r="C394" i="16"/>
  <c r="C386" i="16"/>
  <c r="C378" i="16"/>
  <c r="C370" i="16"/>
  <c r="C416" i="16"/>
  <c r="C400" i="16"/>
  <c r="C384" i="16"/>
  <c r="C368" i="16"/>
  <c r="C423" i="16"/>
  <c r="C407" i="16"/>
  <c r="C391" i="16"/>
  <c r="C375" i="16"/>
  <c r="C406" i="16"/>
  <c r="C382" i="16"/>
  <c r="C421" i="16"/>
  <c r="C397" i="16"/>
  <c r="C373" i="16"/>
  <c r="C425" i="16"/>
  <c r="C417" i="16"/>
  <c r="C409" i="16"/>
  <c r="C401" i="16"/>
  <c r="C393" i="16"/>
  <c r="C385" i="16"/>
  <c r="C377" i="16"/>
  <c r="C369" i="16"/>
  <c r="C424" i="16"/>
  <c r="C408" i="16"/>
  <c r="C392" i="16"/>
  <c r="C376" i="16"/>
  <c r="C415" i="16"/>
  <c r="C399" i="16"/>
  <c r="C383" i="16"/>
  <c r="C367" i="16"/>
  <c r="C414" i="16"/>
  <c r="C390" i="16"/>
  <c r="C405" i="16"/>
  <c r="C381" i="16"/>
  <c r="C14" i="3" l="1"/>
  <c r="D381" i="16"/>
  <c r="D367" i="16"/>
  <c r="E376" i="16"/>
  <c r="E369" i="16"/>
  <c r="E401" i="16"/>
  <c r="D373" i="16"/>
  <c r="D406" i="16"/>
  <c r="D423" i="16"/>
  <c r="D416" i="16"/>
  <c r="E394" i="16"/>
  <c r="E426" i="16"/>
  <c r="D398" i="16"/>
  <c r="D387" i="16"/>
  <c r="D419" i="16"/>
  <c r="E388" i="16"/>
  <c r="E420" i="16"/>
  <c r="E381" i="16"/>
  <c r="E367" i="16"/>
  <c r="D376" i="16"/>
  <c r="D369" i="16"/>
  <c r="D401" i="16"/>
  <c r="E373" i="16"/>
  <c r="E406" i="16"/>
  <c r="E423" i="16"/>
  <c r="E416" i="16"/>
  <c r="D394" i="16"/>
  <c r="D426" i="16"/>
  <c r="E398" i="16"/>
  <c r="E387" i="16"/>
  <c r="E419" i="16"/>
  <c r="D388" i="16"/>
  <c r="D420" i="16"/>
  <c r="D405" i="16"/>
  <c r="D383" i="16"/>
  <c r="E392" i="16"/>
  <c r="E377" i="16"/>
  <c r="E409" i="16"/>
  <c r="D397" i="16"/>
  <c r="D375" i="16"/>
  <c r="E368" i="16"/>
  <c r="E370" i="16"/>
  <c r="E402" i="16"/>
  <c r="D389" i="16"/>
  <c r="D422" i="16"/>
  <c r="E395" i="16"/>
  <c r="E427" i="16"/>
  <c r="E396" i="16"/>
  <c r="E405" i="16"/>
  <c r="E383" i="16"/>
  <c r="D392" i="16"/>
  <c r="D377" i="16"/>
  <c r="D409" i="16"/>
  <c r="E397" i="16"/>
  <c r="E375" i="16"/>
  <c r="D368" i="16"/>
  <c r="D370" i="16"/>
  <c r="D402" i="16"/>
  <c r="E389" i="16"/>
  <c r="E422" i="16"/>
  <c r="D395" i="16"/>
  <c r="D427" i="16"/>
  <c r="D396" i="16"/>
  <c r="D390" i="16"/>
  <c r="D399" i="16"/>
  <c r="E408" i="16"/>
  <c r="E385" i="16"/>
  <c r="E417" i="16"/>
  <c r="D421" i="16"/>
  <c r="D391" i="16"/>
  <c r="D384" i="16"/>
  <c r="E378" i="16"/>
  <c r="E410" i="16"/>
  <c r="D413" i="16"/>
  <c r="D371" i="16"/>
  <c r="D403" i="16"/>
  <c r="E372" i="16"/>
  <c r="D404" i="16"/>
  <c r="E390" i="16"/>
  <c r="E399" i="16"/>
  <c r="D408" i="16"/>
  <c r="D385" i="16"/>
  <c r="D417" i="16"/>
  <c r="E421" i="16"/>
  <c r="E391" i="16"/>
  <c r="E384" i="16"/>
  <c r="D378" i="16"/>
  <c r="D410" i="16"/>
  <c r="E413" i="16"/>
  <c r="E371" i="16"/>
  <c r="E403" i="16"/>
  <c r="D372" i="16"/>
  <c r="E404" i="16"/>
  <c r="D414" i="16"/>
  <c r="D415" i="16"/>
  <c r="E424" i="16"/>
  <c r="E393" i="16"/>
  <c r="E425" i="16"/>
  <c r="D382" i="16"/>
  <c r="D407" i="16"/>
  <c r="D400" i="16"/>
  <c r="E386" i="16"/>
  <c r="E418" i="16"/>
  <c r="D374" i="16"/>
  <c r="D379" i="16"/>
  <c r="E411" i="16"/>
  <c r="D380" i="16"/>
  <c r="E412" i="16"/>
  <c r="E414" i="16"/>
  <c r="E415" i="16"/>
  <c r="D424" i="16"/>
  <c r="D393" i="16"/>
  <c r="D425" i="16"/>
  <c r="E382" i="16"/>
  <c r="E407" i="16"/>
  <c r="E400" i="16"/>
  <c r="D386" i="16"/>
  <c r="D418" i="16"/>
  <c r="E374" i="16"/>
  <c r="E379" i="16"/>
  <c r="D411" i="16"/>
  <c r="E380" i="16"/>
  <c r="D412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<sst xmlns="http://schemas.openxmlformats.org/spreadsheetml/2006/main" count="265" uniqueCount="92">
  <si>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</si>
  <si>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</si>
  <si>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</si>
  <si>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</si>
  <si>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</si>
  <si>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</si>
  <si>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</si>
  <si>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</si>
  <si>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</si>
  <si>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</si>
  <si>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</si>
  <si>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</si>
  <si>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</si>
  <si>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</si>
  <si>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</si>
  <si>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</si>
  <si>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</si>
  <si>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</si>
  <si>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</si>
  <si>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</si>
  <si>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</si>
  <si>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</si>
  <si>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</si>
  <si>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</si>
  <si>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</si>
  <si>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</si>
  <si>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</si>
  <si>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</si>
  <si>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</si>
  <si>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</si>
  <si>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</si>
  <si>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</si>
  <si>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</si>
  <si>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</si>
  <si>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</si>
  <si>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</si>
  <si>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</si>
  <si>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</si>
  <si>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</si>
  <si>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</si>
  <si>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</si>
  <si>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</si>
  <si>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</si>
  <si>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</si>
  <si>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</si>
  <si>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</si>
  <si>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</si>
  <si>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</si>
  <si>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</si>
  <si>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</si>
  <si>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</si>
  <si>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</si>
  <si>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</si>
  <si>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</si>
  <si>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</si>
  <si>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</si>
  <si>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</si>
  <si>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</si>
  <si>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</si>
  <si>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</si>
  <si>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</si>
  <si>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</si>
  <si>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</si>
  <si>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</si>
  <si>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</si>
  <si>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</si>
  <si>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</si>
  <si>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</si>
  <si>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</si>
  <si>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</si>
  <si>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</si>
  <si>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</si>
  <si>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</si>
  <si>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</si>
  <si>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</si>
  <si>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</si>
  <si>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</si>
  <si>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</si>
  <si>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Report Created: 2/26/2026 7:41:52 PM</t>
  </si>
  <si>
    <t>Solution Time: 0.078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</si>
  <si>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</si>
  <si>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</si>
  <si>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</si>
  <si>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</si>
  <si>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</si>
  <si>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</si>
  <si>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</si>
  <si>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2/26/2026 7:41:53 PM</t>
  </si>
  <si>
    <t>Report Created: 2/26/2026 7:46:43 PM</t>
  </si>
  <si>
    <t>Solution Time: 0.047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</si>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</sst>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₱&quot;* #,##0_);_(&quot;₱&quot;* \(#,##0\);_(&quot;₱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76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F-4B3B-A94A-08F5B84CA52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F-4B3B-A94A-08F5B84CA52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2F-4B3B-A94A-08F5B84CA52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2F-4B3B-A94A-08F5B84CA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646048"/>
        <c:axId val="833644608"/>
      </c:lineChart>
      <c:catAx>
        <c:axId val="8336460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44608"/>
        <c:crosses val="autoZero"/>
        <c:auto val="1"/>
        <c:lblAlgn val="ctr"/>
        <c:lblOffset val="100"/>
        <c:noMultiLvlLbl val="0"/>
      </c:catAx>
      <c:valAx>
        <c:axId val="8336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1</xdr:row>
      <xdr:rowOff>148590</xdr:rowOff>
    </xdr:from>
    <xdr:to>
      <xdr:col>14</xdr:col>
      <xdr:colOff>177165</xdr:colOff>
      <xdr:row>21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9937A-29F9-9FF4-0180-AD7DA9E32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8C7624-09E7-490E-9762-2E4C3B4D31C4}" name="Table2" displayName="Table2" ref="A1:E427" totalsRowShown="0">
  <autoFilter ref="A1:E427" xr:uid="{4E8C7624-09E7-490E-9762-2E4C3B4D31C4}"/>
  <tableColumns count="5">
    <tableColumn id="1" xr3:uid="{A34D890D-B4ED-41C3-80C4-0D6B7B11E79E}" name="Date" dataDxfId="2"/>
    <tableColumn id="2" xr3:uid="{556E7600-D67A-494B-99F9-1EBDE0F8033E}" name="Job Count"/>
    <tableColumn id="3" xr3:uid="{5C2BFE6D-D595-4A9F-B123-C55E580C4D4A}" name="Forecast(Job Count)">
      <calculatedColumnFormula>_xlfn.FORECAST.ETS(A2,$B$2:$B$366,$A$2:$A$366,1,1)</calculatedColumnFormula>
    </tableColumn>
    <tableColumn id="4" xr3:uid="{E83EDE74-3F62-432A-B0A5-A4E574B19460}" name="Lower Confidence Bound(Job Count)" dataDxfId="1">
      <calculatedColumnFormula>C2-_xlfn.FORECAST.ETS.CONFINT(A2,$B$2:$B$366,$A$2:$A$366,0.95,1,1)</calculatedColumnFormula>
    </tableColumn>
    <tableColumn id="5" xr3:uid="{E0835C4F-6E91-42A9-A352-D6F27E7D0217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9C-58A5-4DFF-B6D0-32D822422726}">
  <dimension ref="A1:E427"/>
  <sheetViews>
    <sheetView workbookViewId="0">
      <selection sqref="A1:E427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B1" activeCellId="1" sqref="A1:A1048576 B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D027-BA3B-4303-984E-56B7DACC86D1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78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79</v>
      </c>
    </row>
    <row r="8" spans="1:5" hidden="1" outlineLevel="1" x14ac:dyDescent="0.3">
      <c r="A8" s="7"/>
      <c r="B8" t="s">
        <v>80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68" t="s">
        <v>50</v>
      </c>
      <c r="C15" s="68" t="s">
        <v>51</v>
      </c>
      <c r="D15" s="68" t="s">
        <v>52</v>
      </c>
      <c r="E15" s="68" t="s">
        <v>53</v>
      </c>
    </row>
    <row r="16" spans="1:5" ht="15" thickBot="1" x14ac:dyDescent="0.35">
      <c r="B16" s="67" t="s">
        <v>29</v>
      </c>
      <c r="C16" s="67" t="s">
        <v>35</v>
      </c>
      <c r="D16" s="70">
        <v>566749.36181874992</v>
      </c>
      <c r="E16" s="70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68" t="s">
        <v>50</v>
      </c>
      <c r="C20" s="68" t="s">
        <v>51</v>
      </c>
      <c r="D20" s="68" t="s">
        <v>52</v>
      </c>
      <c r="E20" s="68" t="s">
        <v>53</v>
      </c>
      <c r="F20" s="68" t="s">
        <v>55</v>
      </c>
    </row>
    <row r="21" spans="1:7" x14ac:dyDescent="0.3">
      <c r="B21" s="69" t="s">
        <v>60</v>
      </c>
      <c r="C21" s="69" t="s">
        <v>15</v>
      </c>
      <c r="D21" s="71">
        <v>0.1</v>
      </c>
      <c r="E21" s="71">
        <v>0.226693026881682</v>
      </c>
      <c r="F21" s="69" t="s">
        <v>61</v>
      </c>
    </row>
    <row r="22" spans="1:7" ht="15" thickBot="1" x14ac:dyDescent="0.35">
      <c r="B22" s="67" t="s">
        <v>62</v>
      </c>
      <c r="C22" s="67" t="s">
        <v>16</v>
      </c>
      <c r="D22" s="72">
        <v>1.4999999999999999E-2</v>
      </c>
      <c r="E22" s="72">
        <v>2.1270607913771021E-2</v>
      </c>
      <c r="F22" s="6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68" t="s">
        <v>50</v>
      </c>
      <c r="C26" s="68" t="s">
        <v>51</v>
      </c>
      <c r="D26" s="68" t="s">
        <v>57</v>
      </c>
      <c r="E26" s="68" t="s">
        <v>58</v>
      </c>
      <c r="F26" s="68" t="s">
        <v>59</v>
      </c>
      <c r="G26" s="68" t="s">
        <v>8</v>
      </c>
    </row>
    <row r="27" spans="1:7" ht="15" thickBot="1" x14ac:dyDescent="0.35">
      <c r="B27" s="67" t="s">
        <v>29</v>
      </c>
      <c r="C27" s="67" t="s">
        <v>35</v>
      </c>
      <c r="D27" s="70">
        <v>639999.95106057753</v>
      </c>
      <c r="E27" s="67" t="s">
        <v>63</v>
      </c>
      <c r="F27" s="67" t="s">
        <v>64</v>
      </c>
      <c r="G27" s="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84C9-E443-4DAC-8CEE-291FD0C66FC5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81</v>
      </c>
    </row>
    <row r="2" spans="1:5" x14ac:dyDescent="0.3">
      <c r="A2" s="7" t="s">
        <v>38</v>
      </c>
    </row>
    <row r="3" spans="1:5" x14ac:dyDescent="0.3">
      <c r="A3" s="7" t="s">
        <v>78</v>
      </c>
    </row>
    <row r="6" spans="1:5" ht="15" thickBot="1" x14ac:dyDescent="0.35">
      <c r="A6" t="s">
        <v>54</v>
      </c>
    </row>
    <row r="7" spans="1:5" x14ac:dyDescent="0.3">
      <c r="B7" s="73"/>
      <c r="C7" s="73"/>
      <c r="D7" s="73" t="s">
        <v>82</v>
      </c>
      <c r="E7" s="73" t="s">
        <v>83</v>
      </c>
    </row>
    <row r="8" spans="1:5" ht="15" thickBot="1" x14ac:dyDescent="0.35">
      <c r="B8" s="74" t="s">
        <v>50</v>
      </c>
      <c r="C8" s="74" t="s">
        <v>51</v>
      </c>
      <c r="D8" s="74" t="s">
        <v>69</v>
      </c>
      <c r="E8" s="74" t="s">
        <v>84</v>
      </c>
    </row>
    <row r="9" spans="1:5" x14ac:dyDescent="0.3">
      <c r="B9" s="69" t="s">
        <v>60</v>
      </c>
      <c r="C9" s="69" t="s">
        <v>15</v>
      </c>
      <c r="D9" s="69">
        <v>0.226693026881682</v>
      </c>
      <c r="E9" s="69">
        <v>0</v>
      </c>
    </row>
    <row r="10" spans="1:5" ht="15" thickBot="1" x14ac:dyDescent="0.35">
      <c r="B10" s="67" t="s">
        <v>62</v>
      </c>
      <c r="C10" s="67" t="s">
        <v>16</v>
      </c>
      <c r="D10" s="67">
        <v>2.1270607913771021E-2</v>
      </c>
      <c r="E10" s="67">
        <v>0</v>
      </c>
    </row>
    <row r="12" spans="1:5" ht="15" thickBot="1" x14ac:dyDescent="0.35">
      <c r="A12" t="s">
        <v>56</v>
      </c>
    </row>
    <row r="13" spans="1:5" x14ac:dyDescent="0.3">
      <c r="B13" s="73"/>
      <c r="C13" s="73"/>
      <c r="D13" s="73" t="s">
        <v>82</v>
      </c>
      <c r="E13" s="73" t="s">
        <v>85</v>
      </c>
    </row>
    <row r="14" spans="1:5" ht="15" thickBot="1" x14ac:dyDescent="0.35">
      <c r="B14" s="74" t="s">
        <v>50</v>
      </c>
      <c r="C14" s="74" t="s">
        <v>51</v>
      </c>
      <c r="D14" s="74" t="s">
        <v>69</v>
      </c>
      <c r="E14" s="74" t="s">
        <v>86</v>
      </c>
    </row>
    <row r="15" spans="1:5" ht="15" thickBot="1" x14ac:dyDescent="0.35">
      <c r="B15" s="67" t="s">
        <v>29</v>
      </c>
      <c r="C15" s="67" t="s">
        <v>35</v>
      </c>
      <c r="D15" s="67">
        <v>639999.95106057753</v>
      </c>
      <c r="E15" s="6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60CC-E792-4FE4-B327-04E6B47F8813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87</v>
      </c>
    </row>
    <row r="5" spans="1:10" ht="15" thickBot="1" x14ac:dyDescent="0.35"/>
    <row r="6" spans="1:10" x14ac:dyDescent="0.3">
      <c r="B6" s="73"/>
      <c r="C6" s="73" t="s">
        <v>71</v>
      </c>
      <c r="D6" s="73"/>
    </row>
    <row r="7" spans="1:10" ht="15" thickBot="1" x14ac:dyDescent="0.35">
      <c r="B7" s="74" t="s">
        <v>50</v>
      </c>
      <c r="C7" s="74" t="s">
        <v>51</v>
      </c>
      <c r="D7" s="74" t="s">
        <v>69</v>
      </c>
    </row>
    <row r="8" spans="1:10" ht="15" thickBot="1" x14ac:dyDescent="0.35">
      <c r="B8" s="67" t="s">
        <v>29</v>
      </c>
      <c r="C8" s="67" t="s">
        <v>35</v>
      </c>
      <c r="D8" s="70">
        <v>639999.95106057753</v>
      </c>
    </row>
    <row r="10" spans="1:10" ht="15" thickBot="1" x14ac:dyDescent="0.35"/>
    <row r="11" spans="1:10" x14ac:dyDescent="0.3">
      <c r="B11" s="73"/>
      <c r="C11" s="73" t="s">
        <v>72</v>
      </c>
      <c r="D11" s="73"/>
      <c r="F11" s="73" t="s">
        <v>73</v>
      </c>
      <c r="G11" s="73" t="s">
        <v>71</v>
      </c>
      <c r="I11" s="73" t="s">
        <v>76</v>
      </c>
      <c r="J11" s="73" t="s">
        <v>71</v>
      </c>
    </row>
    <row r="12" spans="1:10" ht="15" thickBot="1" x14ac:dyDescent="0.35">
      <c r="B12" s="74" t="s">
        <v>50</v>
      </c>
      <c r="C12" s="74" t="s">
        <v>51</v>
      </c>
      <c r="D12" s="74" t="s">
        <v>69</v>
      </c>
      <c r="F12" s="74" t="s">
        <v>74</v>
      </c>
      <c r="G12" s="74" t="s">
        <v>75</v>
      </c>
      <c r="I12" s="74" t="s">
        <v>74</v>
      </c>
      <c r="J12" s="74" t="s">
        <v>75</v>
      </c>
    </row>
    <row r="13" spans="1:10" x14ac:dyDescent="0.3">
      <c r="B13" s="69" t="s">
        <v>60</v>
      </c>
      <c r="C13" s="69" t="s">
        <v>15</v>
      </c>
      <c r="D13" s="71">
        <v>0.226693026881682</v>
      </c>
      <c r="F13" s="71">
        <v>0</v>
      </c>
      <c r="G13" s="71">
        <v>521727.87896862096</v>
      </c>
      <c r="I13" s="69" t="e">
        <v>#N/A</v>
      </c>
      <c r="J13" s="69" t="e">
        <v>#N/A</v>
      </c>
    </row>
    <row r="14" spans="1:10" ht="15" thickBot="1" x14ac:dyDescent="0.35">
      <c r="B14" s="67" t="s">
        <v>62</v>
      </c>
      <c r="C14" s="67" t="s">
        <v>16</v>
      </c>
      <c r="D14" s="72">
        <v>2.1270607913771021E-2</v>
      </c>
      <c r="F14" s="72">
        <v>0</v>
      </c>
      <c r="G14" s="72">
        <v>613346.51344084099</v>
      </c>
      <c r="I14" s="67" t="e">
        <v>#N/A</v>
      </c>
      <c r="J14" s="67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18C4-06EA-4450-BA42-3FFA09EF1279}">
  <dimension ref="A1:G29"/>
  <sheetViews>
    <sheetView showGridLines="0" tabSelected="1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88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89</v>
      </c>
    </row>
    <row r="8" spans="1:5" hidden="1" outlineLevel="1" x14ac:dyDescent="0.3">
      <c r="A8" s="7"/>
      <c r="B8" t="s">
        <v>80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68" t="s">
        <v>50</v>
      </c>
      <c r="C15" s="68" t="s">
        <v>51</v>
      </c>
      <c r="D15" s="68" t="s">
        <v>52</v>
      </c>
      <c r="E15" s="68" t="s">
        <v>53</v>
      </c>
    </row>
    <row r="16" spans="1:5" ht="15" thickBot="1" x14ac:dyDescent="0.35">
      <c r="B16" s="67" t="s">
        <v>29</v>
      </c>
      <c r="C16" s="67" t="s">
        <v>35</v>
      </c>
      <c r="D16" s="70">
        <v>622877.09440000006</v>
      </c>
      <c r="E16" s="70">
        <v>640000.14523942047</v>
      </c>
    </row>
    <row r="19" spans="1:7" ht="15" thickBot="1" x14ac:dyDescent="0.35">
      <c r="A19" t="s">
        <v>54</v>
      </c>
    </row>
    <row r="20" spans="1:7" ht="15" thickBot="1" x14ac:dyDescent="0.35">
      <c r="B20" s="68" t="s">
        <v>50</v>
      </c>
      <c r="C20" s="68" t="s">
        <v>51</v>
      </c>
      <c r="D20" s="68" t="s">
        <v>52</v>
      </c>
      <c r="E20" s="68" t="s">
        <v>53</v>
      </c>
      <c r="F20" s="68" t="s">
        <v>55</v>
      </c>
    </row>
    <row r="21" spans="1:7" x14ac:dyDescent="0.3">
      <c r="B21" s="69" t="s">
        <v>60</v>
      </c>
      <c r="C21" s="69" t="s">
        <v>15</v>
      </c>
      <c r="D21" s="71">
        <v>0.15</v>
      </c>
      <c r="E21" s="71">
        <v>0.17283479610661426</v>
      </c>
      <c r="F21" s="69" t="s">
        <v>61</v>
      </c>
    </row>
    <row r="22" spans="1:7" ht="15" thickBot="1" x14ac:dyDescent="0.35">
      <c r="B22" s="67" t="s">
        <v>62</v>
      </c>
      <c r="C22" s="67" t="s">
        <v>16</v>
      </c>
      <c r="D22" s="72">
        <v>0.04</v>
      </c>
      <c r="E22" s="72">
        <v>4.3731865887940702E-2</v>
      </c>
      <c r="F22" s="6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68" t="s">
        <v>50</v>
      </c>
      <c r="C26" s="68" t="s">
        <v>51</v>
      </c>
      <c r="D26" s="68" t="s">
        <v>57</v>
      </c>
      <c r="E26" s="68" t="s">
        <v>58</v>
      </c>
      <c r="F26" s="68" t="s">
        <v>59</v>
      </c>
      <c r="G26" s="68" t="s">
        <v>8</v>
      </c>
    </row>
    <row r="27" spans="1:7" x14ac:dyDescent="0.3">
      <c r="B27" s="69" t="s">
        <v>29</v>
      </c>
      <c r="C27" s="69" t="s">
        <v>35</v>
      </c>
      <c r="D27" s="75">
        <v>640000.14523942047</v>
      </c>
      <c r="E27" s="69" t="s">
        <v>63</v>
      </c>
      <c r="F27" s="69" t="s">
        <v>64</v>
      </c>
      <c r="G27" s="69">
        <v>0</v>
      </c>
    </row>
    <row r="28" spans="1:7" x14ac:dyDescent="0.3">
      <c r="B28" s="69" t="s">
        <v>60</v>
      </c>
      <c r="C28" s="69" t="s">
        <v>15</v>
      </c>
      <c r="D28" s="71">
        <v>0.17283479610661426</v>
      </c>
      <c r="E28" s="69" t="s">
        <v>90</v>
      </c>
      <c r="F28" s="69" t="s">
        <v>66</v>
      </c>
      <c r="G28" s="69">
        <v>2.7165203893385753E-2</v>
      </c>
    </row>
    <row r="29" spans="1:7" ht="15" thickBot="1" x14ac:dyDescent="0.35">
      <c r="B29" s="67" t="s">
        <v>62</v>
      </c>
      <c r="C29" s="67" t="s">
        <v>16</v>
      </c>
      <c r="D29" s="72">
        <v>4.3731865887940702E-2</v>
      </c>
      <c r="E29" s="67" t="s">
        <v>91</v>
      </c>
      <c r="F29" s="67" t="s">
        <v>66</v>
      </c>
      <c r="G29" s="67">
        <v>6.2681341120593009E-3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="115" zoomScaleNormal="115" workbookViewId="0">
      <selection activeCell="C15" sqref="C15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117283.47961066144</v>
      </c>
    </row>
    <row r="10" spans="2:8" x14ac:dyDescent="0.3">
      <c r="B10" s="4">
        <v>1</v>
      </c>
      <c r="C10" s="2">
        <f>(base*(1+raise)^B10)*(1+bonus)</f>
        <v>122412.5050118659</v>
      </c>
    </row>
    <row r="11" spans="2:8" x14ac:dyDescent="0.3">
      <c r="B11" s="4">
        <v>2</v>
      </c>
      <c r="C11" s="2">
        <f>(base*(1+raise)^B11)*(1+bonus)</f>
        <v>127765.83226405167</v>
      </c>
    </row>
    <row r="12" spans="2:8" x14ac:dyDescent="0.3">
      <c r="B12" s="4">
        <v>3</v>
      </c>
      <c r="C12" s="2">
        <f>(base*(1+raise)^B12)*(1+bonus)</f>
        <v>133353.27050568431</v>
      </c>
    </row>
    <row r="13" spans="2:8" ht="15" thickBot="1" x14ac:dyDescent="0.35">
      <c r="B13" s="36">
        <v>4</v>
      </c>
      <c r="C13" s="37">
        <f>(base*(1+raise)^B13)*(1+bonus)</f>
        <v>139185.05784715715</v>
      </c>
    </row>
    <row r="14" spans="2:8" ht="15.6" thickTop="1" thickBot="1" x14ac:dyDescent="0.35">
      <c r="B14" s="34" t="s">
        <v>3</v>
      </c>
      <c r="C14" s="35">
        <f>SUM(C9:C13)</f>
        <v>640000.14523942047</v>
      </c>
    </row>
  </sheetData>
  <scenarios current="1" show="1" sqref="C9:C14">
    <scenario name="Job 1" locked="1" count="3" user="NIKCA" comment="Created by NIKCA on 2/26/2026_x000a_Modified by NIKCA on 2/26/2026">
      <inputCells r="C3" val="100000" numFmtId="165"/>
      <inputCells r="C4" val="0.1" numFmtId="9"/>
      <inputCells r="C5" val="0.015" numFmtId="166"/>
    </scenario>
    <scenario name="Job 2" locked="1" count="3" user="NIKCA" comment="Created by NIKCA on 2/26/2026_x000a_Modified by NIKCA on 2/26/2026">
      <inputCells r="C3" val="80000" numFmtId="165"/>
      <inputCells r="C4" val="0.15" numFmtId="9"/>
      <inputCells r="C5" val="0.012" numFmtId="166"/>
    </scenario>
    <scenario name="Job 3" locked="1" count="3" user="NIKCA" comment="Created by NIKCA on 2/26/2026_x000a_Modified by NIKCA on 2/26/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D11" sqref="D11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Nikca Delos Santos</cp:lastModifiedBy>
  <dcterms:created xsi:type="dcterms:W3CDTF">2024-08-08T18:34:47Z</dcterms:created>
  <dcterms:modified xsi:type="dcterms:W3CDTF">2026-02-26T11:48:48Z</dcterms:modified>
</cp:coreProperties>
</file>