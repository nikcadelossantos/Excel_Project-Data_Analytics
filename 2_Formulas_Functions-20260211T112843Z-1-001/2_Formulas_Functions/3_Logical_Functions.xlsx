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CA\Desktop\EXCEL FOR DATA ANALYTICS\2_Formulas_Functions-20260211T112843Z-1-001\2_Formulas_Functions\"/>
    </mc:Choice>
  </mc:AlternateContent>
  <xr:revisionPtr revIDLastSave="0" documentId="13_ncr:1_{C6A50AF4-33BE-429F-A1B8-84337536FECE}" xr6:coauthVersionLast="47" xr6:coauthVersionMax="47" xr10:uidLastSave="{00000000-0000-0000-0000-000000000000}"/>
  <bookViews>
    <workbookView xWindow="-108" yWindow="-108" windowWidth="23256" windowHeight="12456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 s="1"/>
  <c r="R5" i="10" a="1"/>
  <c r="R5" i="10"/>
  <c r="R6" i="10" a="1"/>
  <c r="R6" i="10"/>
  <c r="R7" i="10" a="1"/>
  <c r="R7" i="10" s="1"/>
  <c r="R8" i="10" a="1"/>
  <c r="R8" i="10" s="1"/>
  <c r="R9" i="10" a="1"/>
  <c r="R9" i="10"/>
  <c r="R10" i="10" a="1"/>
  <c r="R10" i="10"/>
  <c r="R11" i="10" a="1"/>
  <c r="R11" i="10" s="1"/>
  <c r="R12" i="10" a="1"/>
  <c r="R12" i="10" s="1"/>
  <c r="R13" i="10" a="1"/>
  <c r="R13" i="10"/>
  <c r="R14" i="10" a="1"/>
  <c r="R14" i="10"/>
  <c r="R15" i="10" a="1"/>
  <c r="R15" i="10" s="1"/>
  <c r="R16" i="10" a="1"/>
  <c r="R16" i="10" s="1"/>
  <c r="R17" i="10" a="1"/>
  <c r="R17" i="10"/>
  <c r="R18" i="10" a="1"/>
  <c r="R18" i="10"/>
  <c r="R19" i="10" a="1"/>
  <c r="R19" i="10" s="1"/>
  <c r="R20" i="10" a="1"/>
  <c r="R20" i="10" s="1"/>
  <c r="R21" i="10" a="1"/>
  <c r="R21" i="10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D4" i="12"/>
  <c r="E4" i="12"/>
  <c r="D5" i="12"/>
  <c r="E5" i="12"/>
  <c r="D6" i="12"/>
  <c r="E6" i="12"/>
  <c r="E3" i="12"/>
  <c r="D3" i="12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<sst xmlns="http://schemas.openxmlformats.org/spreadsheetml/2006/main" count="395" uniqueCount="144">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</sst>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  <xf numFmtId="0" fontId="4" fillId="2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16" sqref="Q1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11.44140625" style="48" bestFit="1" customWidth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47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49" t="str">
        <f>IF(P3,"Goal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49" t="str">
        <f t="shared" ref="Q4:Q12" si="11">IF(P4,"Goal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49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49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49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49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49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49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49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49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U11" sqref="U11"/>
    </sheetView>
  </sheetViews>
  <sheetFormatPr defaultRowHeight="14.4" x14ac:dyDescent="0.3"/>
  <cols>
    <col min="1" max="1" width="16.88671875" bestFit="1" customWidth="1"/>
    <col min="2" max="2" width="19.10937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1.5546875" bestFit="1" customWidth="1"/>
    <col min="12" max="12" width="14.88671875" bestFit="1" customWidth="1"/>
    <col min="13" max="13" width="11.109375" bestFit="1" customWidth="1"/>
    <col min="14" max="14" width="7.109375" bestFit="1" customWidth="1"/>
    <col min="15" max="15" width="6" bestFit="1" customWidth="1"/>
    <col min="16" max="16" width="11.109375" bestFit="1" customWidth="1"/>
    <col min="17" max="17" width="10.21875" bestFit="1" customWidth="1"/>
    <col min="18" max="18" width="10.5546875" bestFit="1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Desired","NOT Desired")</f>
        <v>NOT Desired</v>
      </c>
      <c r="L2" t="str">
        <f>IF($A2=L$1,"Role Desired","NOT Desired")</f>
        <v>NOT Desired</v>
      </c>
      <c r="M2" t="str">
        <f>IF($A2=K$1,"Role Desired",IF($A2=L$1,"Role Desired","NOT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 "Role Desired", "NOT Desired")</f>
        <v>NOT Desired</v>
      </c>
      <c r="Q2" t="str">
        <f>IF($H2&gt;$Q$1, "Salary &gt;85K", "Salary Low")</f>
        <v>Salary &gt;85K</v>
      </c>
      <c r="R2" t="str" cm="1">
        <f t="array" ref="R2">_xlfn.IFS($H2="", "No Data", $H2&gt;=$Q$1, "Salary &gt; 85K", TRUE, "Salary Low")</f>
        <v>Salary &gt; 85K</v>
      </c>
    </row>
    <row r="3" spans="1:18" x14ac:dyDescent="0.3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IF($A3=K$1,"Role Desired","NOT Desired")</f>
        <v>Role Desired</v>
      </c>
      <c r="L3" t="str">
        <f t="shared" si="0"/>
        <v>NOT Desired</v>
      </c>
      <c r="M3" t="str">
        <f t="shared" ref="M3:M21" si="1">IF($A3=K$1,"Role Desired",IF($A3=L$1,"Role Desired","NOT Desired"))</f>
        <v>Role Desired</v>
      </c>
      <c r="N3" t="b">
        <f t="shared" ref="N3:N21" si="2">AND($A3=$K$1, $A3=$L$1)</f>
        <v>0</v>
      </c>
      <c r="O3" t="b">
        <f t="shared" ref="O3:O21" si="3">OR($A3=$K$1, $A3=$L$1)</f>
        <v>1</v>
      </c>
      <c r="P3" t="str">
        <f t="shared" ref="P3:P21" si="4">IF(OR($A3=$K$1, $A3=$L$1),  "Role Desired", "NOT Desired")</f>
        <v>Role Desired</v>
      </c>
      <c r="Q3" t="str">
        <f t="shared" ref="Q3:Q21" si="5">IF($H3&gt;$Q$1, "Salary &gt;85K", "Salary Low")</f>
        <v>Salary Low</v>
      </c>
      <c r="R3" t="str" cm="1">
        <f t="array" ref="R3">_xlfn.IFS($H3="", "No Data", $H3&gt;=$Q$1, "Salary &gt; 85K", TRUE, "Salary Low")</f>
        <v>Salary Low</v>
      </c>
    </row>
    <row r="4" spans="1:18" x14ac:dyDescent="0.3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 "No Data", $H4&gt;=$Q$1, "Salary &gt; 85K", TRUE, "Salary Low")</f>
        <v>No Data</v>
      </c>
    </row>
    <row r="5" spans="1:18" x14ac:dyDescent="0.3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 "No Data", $H5&gt;=$Q$1, "Salary &gt; 85K", TRUE, "Salary Low")</f>
        <v>No Data</v>
      </c>
    </row>
    <row r="6" spans="1:18" x14ac:dyDescent="0.3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 "No Data", $H6&gt;=$Q$1, "Salary &gt; 85K", TRUE, "Salary Low")</f>
        <v>No Data</v>
      </c>
    </row>
    <row r="7" spans="1:18" x14ac:dyDescent="0.3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 "No Data", $H7&gt;=$Q$1, "Salary &gt; 85K", TRUE, "Salary Low")</f>
        <v>No Data</v>
      </c>
    </row>
    <row r="8" spans="1:18" x14ac:dyDescent="0.3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 "No Data", $H8&gt;=$Q$1, "Salary &gt; 85K", TRUE, "Salary Low")</f>
        <v>No Data</v>
      </c>
    </row>
    <row r="9" spans="1:18" x14ac:dyDescent="0.3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 &gt;85K</v>
      </c>
      <c r="R9" t="str" cm="1">
        <f t="array" ref="R9">_xlfn.IFS($H9="", "No Data", $H9&gt;=$Q$1, "Salary &gt; 85K", TRUE, "Salary Low")</f>
        <v>Salary &gt; 85K</v>
      </c>
    </row>
    <row r="10" spans="1:18" x14ac:dyDescent="0.3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 "No Data", $H10&gt;=$Q$1, "Salary &gt; 85K", TRUE, "Salary Low")</f>
        <v>No Data</v>
      </c>
    </row>
    <row r="11" spans="1:18" x14ac:dyDescent="0.3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 &gt;85K</v>
      </c>
      <c r="R11" t="str" cm="1">
        <f t="array" ref="R11">_xlfn.IFS($H11="", "No Data", $H11&gt;=$Q$1, "Salary &gt; 85K", TRUE, "Salary Low")</f>
        <v>Salary &gt; 85K</v>
      </c>
    </row>
    <row r="12" spans="1:18" x14ac:dyDescent="0.3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 &gt;85K</v>
      </c>
      <c r="R12" t="str" cm="1">
        <f t="array" ref="R12">_xlfn.IFS($H12="", "No Data", $H12&gt;=$Q$1, "Salary &gt; 85K", TRUE, "Salary Low")</f>
        <v>Salary &gt; 85K</v>
      </c>
    </row>
    <row r="13" spans="1:18" x14ac:dyDescent="0.3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 &gt;85K</v>
      </c>
      <c r="R13" t="str" cm="1">
        <f t="array" ref="R13">_xlfn.IFS($H13="", "No Data", $H13&gt;=$Q$1, "Salary &gt; 85K", TRUE, "Salary Low")</f>
        <v>Salary &gt; 85K</v>
      </c>
    </row>
    <row r="14" spans="1:18" x14ac:dyDescent="0.3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 &gt;85K</v>
      </c>
      <c r="R14" t="str" cm="1">
        <f t="array" ref="R14">_xlfn.IFS($H14="", "No Data", $H14&gt;=$Q$1, "Salary &gt; 85K", TRUE, "Salary Low")</f>
        <v>Salary &gt; 85K</v>
      </c>
    </row>
    <row r="15" spans="1:18" x14ac:dyDescent="0.3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 "No Data", $H15&gt;=$Q$1, "Salary &gt; 85K", TRUE, "Salary Low")</f>
        <v>Salary Low</v>
      </c>
    </row>
    <row r="16" spans="1:18" x14ac:dyDescent="0.3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 &gt;85K</v>
      </c>
      <c r="R16" t="str" cm="1">
        <f t="array" ref="R16">_xlfn.IFS($H16="", "No Data", $H16&gt;=$Q$1, "Salary &gt; 85K", TRUE, "Salary Low")</f>
        <v>Salary &gt; 85K</v>
      </c>
    </row>
    <row r="17" spans="1:18" x14ac:dyDescent="0.3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 &gt;85K</v>
      </c>
      <c r="R17" t="str" cm="1">
        <f t="array" ref="R17">_xlfn.IFS($H17="", "No Data", $H17&gt;=$Q$1, "Salary &gt; 85K", TRUE, "Salary Low")</f>
        <v>Salary &gt; 85K</v>
      </c>
    </row>
    <row r="18" spans="1:18" x14ac:dyDescent="0.3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 "No Data", $H18&gt;=$Q$1, "Salary &gt; 85K", TRUE, "Salary Low")</f>
        <v>No Data</v>
      </c>
    </row>
    <row r="19" spans="1:18" x14ac:dyDescent="0.3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 &gt;85K</v>
      </c>
      <c r="R19" t="str" cm="1">
        <f t="array" ref="R19">_xlfn.IFS($H19="", "No Data", $H19&gt;=$Q$1, "Salary &gt; 85K", TRUE, "Salary Low")</f>
        <v>Salary &gt; 85K</v>
      </c>
    </row>
    <row r="20" spans="1:18" x14ac:dyDescent="0.3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 "No Data", $H20&gt;=$Q$1, "Salary &gt; 85K", TRUE, "Salary Low")</f>
        <v>No Data</v>
      </c>
    </row>
    <row r="21" spans="1:18" x14ac:dyDescent="0.3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 &gt;85K</v>
      </c>
      <c r="R21" t="str" cm="1">
        <f t="array" ref="R21">_xlfn.IFS($H21="", "No Data", $H21&gt;=$Q$1, "Salary &gt; 85K", TRUE, "Salary Low")</f>
        <v>Salary &gt; 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5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3" t="s">
        <v>139</v>
      </c>
      <c r="F2" s="43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H6" sqref="H6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4" t="s">
        <v>141</v>
      </c>
      <c r="E2" s="44" t="s">
        <v>142</v>
      </c>
    </row>
    <row r="3" spans="2:5" x14ac:dyDescent="0.3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35">
      <c r="B6" s="40" t="b">
        <v>0</v>
      </c>
      <c r="C6" s="41" t="b">
        <v>0</v>
      </c>
      <c r="D6" s="42" t="b">
        <f t="shared" si="0"/>
        <v>0</v>
      </c>
      <c r="E6" s="42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Nikca Delos Santos</cp:lastModifiedBy>
  <dcterms:created xsi:type="dcterms:W3CDTF">2024-07-16T20:11:02Z</dcterms:created>
  <dcterms:modified xsi:type="dcterms:W3CDTF">2026-02-18T14:26:22Z</dcterms:modified>
</cp:coreProperties>
</file>