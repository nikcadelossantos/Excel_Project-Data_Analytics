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KCA\Desktop\EXCEL FOR DATA ANALYTICS\2_Formulas_Functions-20260211T112843Z-1-001\2_Formulas_Functions\"/>
    </mc:Choice>
  </mc:AlternateContent>
  <xr:revisionPtr revIDLastSave="0" documentId="13_ncr:1_{6BE0FD00-0508-42F3-8085-3FE0A48E3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Z3" i="8"/>
  <c r="Z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T3" i="8"/>
  <c r="U3" i="8"/>
  <c r="V3" i="8"/>
  <c r="X3" i="8"/>
  <c r="T4" i="8"/>
  <c r="U4" i="8"/>
  <c r="V4" i="8"/>
  <c r="X4" i="8"/>
  <c r="T5" i="8"/>
  <c r="U5" i="8"/>
  <c r="V5" i="8"/>
  <c r="X5" i="8"/>
  <c r="T6" i="8"/>
  <c r="U6" i="8"/>
  <c r="V6" i="8"/>
  <c r="X6" i="8"/>
  <c r="T7" i="8"/>
  <c r="U7" i="8"/>
  <c r="V7" i="8"/>
  <c r="X7" i="8"/>
  <c r="T8" i="8"/>
  <c r="U8" i="8"/>
  <c r="V8" i="8"/>
  <c r="X8" i="8"/>
  <c r="T9" i="8"/>
  <c r="U9" i="8"/>
  <c r="V9" i="8"/>
  <c r="X9" i="8"/>
  <c r="T10" i="8"/>
  <c r="U10" i="8"/>
  <c r="V10" i="8"/>
  <c r="X10" i="8"/>
  <c r="T11" i="8"/>
  <c r="U11" i="8"/>
  <c r="V11" i="8"/>
  <c r="X11" i="8"/>
  <c r="T12" i="8"/>
  <c r="U12" i="8"/>
  <c r="V12" i="8"/>
  <c r="X12" i="8"/>
  <c r="T13" i="8"/>
  <c r="U13" i="8"/>
  <c r="V13" i="8"/>
  <c r="X13" i="8"/>
  <c r="T14" i="8"/>
  <c r="U14" i="8"/>
  <c r="V14" i="8"/>
  <c r="X14" i="8"/>
  <c r="T15" i="8"/>
  <c r="U15" i="8"/>
  <c r="V15" i="8"/>
  <c r="X15" i="8"/>
  <c r="T16" i="8"/>
  <c r="U16" i="8"/>
  <c r="V16" i="8"/>
  <c r="X16" i="8"/>
  <c r="T17" i="8"/>
  <c r="U17" i="8"/>
  <c r="V17" i="8"/>
  <c r="X17" i="8"/>
  <c r="T18" i="8"/>
  <c r="U18" i="8"/>
  <c r="V18" i="8"/>
  <c r="X18" i="8"/>
  <c r="T19" i="8"/>
  <c r="U19" i="8"/>
  <c r="V19" i="8"/>
  <c r="X19" i="8"/>
  <c r="T20" i="8"/>
  <c r="U20" i="8"/>
  <c r="V20" i="8"/>
  <c r="X20" i="8"/>
  <c r="T21" i="8"/>
  <c r="U21" i="8"/>
  <c r="V21" i="8"/>
  <c r="X21" i="8"/>
  <c r="X2" i="8"/>
  <c r="V2" i="8"/>
  <c r="U2" i="8"/>
  <c r="T2" i="8"/>
  <c r="P2" i="8"/>
  <c r="R2" i="8" s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" i="8"/>
  <c r="J3" i="8"/>
  <c r="K3" i="8"/>
  <c r="L3" i="8"/>
  <c r="J4" i="8"/>
  <c r="K4" i="8"/>
  <c r="L4" i="8"/>
  <c r="J5" i="8"/>
  <c r="K5" i="8"/>
  <c r="L5" i="8"/>
  <c r="J6" i="8"/>
  <c r="K6" i="8"/>
  <c r="L6" i="8"/>
  <c r="J7" i="8"/>
  <c r="K7" i="8"/>
  <c r="L7" i="8"/>
  <c r="J8" i="8"/>
  <c r="K8" i="8"/>
  <c r="L8" i="8"/>
  <c r="J9" i="8"/>
  <c r="K9" i="8"/>
  <c r="L9" i="8"/>
  <c r="J10" i="8"/>
  <c r="K10" i="8"/>
  <c r="L10" i="8"/>
  <c r="J11" i="8"/>
  <c r="K11" i="8"/>
  <c r="L11" i="8"/>
  <c r="J12" i="8"/>
  <c r="K12" i="8"/>
  <c r="L12" i="8"/>
  <c r="J13" i="8"/>
  <c r="K13" i="8"/>
  <c r="L13" i="8"/>
  <c r="J14" i="8"/>
  <c r="K14" i="8"/>
  <c r="L14" i="8"/>
  <c r="J15" i="8"/>
  <c r="K15" i="8"/>
  <c r="L15" i="8"/>
  <c r="J16" i="8"/>
  <c r="K16" i="8"/>
  <c r="L16" i="8"/>
  <c r="J17" i="8"/>
  <c r="K17" i="8"/>
  <c r="L17" i="8"/>
  <c r="J18" i="8"/>
  <c r="K18" i="8"/>
  <c r="L18" i="8"/>
  <c r="J19" i="8"/>
  <c r="K19" i="8"/>
  <c r="L19" i="8"/>
  <c r="J20" i="8"/>
  <c r="K20" i="8"/>
  <c r="L20" i="8"/>
  <c r="J21" i="8"/>
  <c r="K21" i="8"/>
  <c r="L21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6" i="8" l="1"/>
  <c r="R21" i="8"/>
  <c r="R13" i="8"/>
  <c r="R20" i="8"/>
  <c r="R12" i="8"/>
  <c r="R4" i="8"/>
  <c r="R18" i="8"/>
  <c r="R10" i="8"/>
  <c r="R17" i="8"/>
  <c r="R9" i="8"/>
  <c r="R16" i="8"/>
  <c r="R8" i="8"/>
  <c r="R15" i="8"/>
  <c r="R7" i="8"/>
  <c r="R14" i="8"/>
  <c r="R5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<sst xmlns="http://schemas.openxmlformats.org/spreadsheetml/2006/main" count="471" uniqueCount="97">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</sst>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Job</a:t>
            </a:r>
            <a:r>
              <a:rPr lang="en-PH" baseline="0"/>
              <a:t> Postings Per Hour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1-4932-887A-E0DDA5183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8942239"/>
        <c:axId val="898943199"/>
      </c:barChart>
      <c:catAx>
        <c:axId val="898942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43199"/>
        <c:crosses val="autoZero"/>
        <c:auto val="1"/>
        <c:lblAlgn val="ctr"/>
        <c:lblOffset val="100"/>
        <c:noMultiLvlLbl val="0"/>
      </c:catAx>
      <c:valAx>
        <c:axId val="8989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942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53340</xdr:colOff>
      <xdr:row>1</xdr:row>
      <xdr:rowOff>156210</xdr:rowOff>
    </xdr:from>
    <xdr:to>
      <xdr:col>36</xdr:col>
      <xdr:colOff>358140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4B8A9-8567-8560-FB3C-F314160A9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F20" sqref="AF20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9.5546875" hidden="1" customWidth="1"/>
    <col min="17" max="17" width="8.88671875" hidden="1" customWidth="1"/>
    <col min="18" max="18" width="16" hidden="1" customWidth="1"/>
    <col min="19" max="23" width="8.88671875" hidden="1" customWidth="1"/>
    <col min="24" max="24" width="14.33203125" hidden="1" customWidth="1"/>
    <col min="25" max="25" width="14.33203125" style="18" hidden="1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9" t="s">
        <v>95</v>
      </c>
      <c r="Z1" s="15" t="s">
        <v>96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46074</v>
      </c>
      <c r="R2">
        <f ca="1">DATEDIF(N2,$P$2, "D")</f>
        <v>1103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s="18" t="str">
        <f>TEXT(D2, "HH:MM AM/PM")</f>
        <v>03:22 PM</v>
      </c>
      <c r="Z2">
        <f>HOUR(D2)</f>
        <v>15</v>
      </c>
      <c r="AA2" cm="1">
        <f t="array" ref="AA2:AA25">_xlfn.SEQUENCE(24,,1)</f>
        <v>1</v>
      </c>
      <c r="AB2">
        <f>COUNTIF($Z$2:$Z$21,AA2)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 "D")</f>
        <v>1019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s="18" t="str">
        <f t="shared" ref="Y3:Y21" si="9">TEXT(D3, "HH:MM AM/PM")</f>
        <v>09:45 AM</v>
      </c>
      <c r="Z3">
        <f t="shared" ref="Z3:Z21" si="10">HOUR(D3)</f>
        <v>9</v>
      </c>
      <c r="AA3">
        <v>2</v>
      </c>
      <c r="AB3">
        <f t="shared" ref="AB3:AB25" si="11">COUNTIF($Z$2:$Z$21,AA3)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946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s="18" t="str">
        <f t="shared" si="9"/>
        <v>05:30 PM</v>
      </c>
      <c r="Z4">
        <f t="shared" si="10"/>
        <v>17</v>
      </c>
      <c r="AA4">
        <v>3</v>
      </c>
      <c r="AB4">
        <f t="shared" si="11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901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s="18" t="str">
        <f t="shared" si="9"/>
        <v>07:15 AM</v>
      </c>
      <c r="Z5">
        <f t="shared" si="10"/>
        <v>7</v>
      </c>
      <c r="AA5">
        <v>4</v>
      </c>
      <c r="AB5">
        <f t="shared" si="11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826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s="18" t="str">
        <f t="shared" si="9"/>
        <v>05:00 PM</v>
      </c>
      <c r="Z6">
        <f t="shared" si="10"/>
        <v>17</v>
      </c>
      <c r="AA6">
        <v>5</v>
      </c>
      <c r="AB6">
        <f t="shared" si="11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772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s="18" t="str">
        <f t="shared" si="9"/>
        <v>12:45 PM</v>
      </c>
      <c r="Z7">
        <f t="shared" si="10"/>
        <v>12</v>
      </c>
      <c r="AA7">
        <v>6</v>
      </c>
      <c r="AB7">
        <f t="shared" si="11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720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s="18" t="str">
        <f t="shared" si="9"/>
        <v>04:30 PM</v>
      </c>
      <c r="Z8">
        <f t="shared" si="10"/>
        <v>16</v>
      </c>
      <c r="AA8">
        <v>7</v>
      </c>
      <c r="AB8">
        <f t="shared" si="11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666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s="18" t="str">
        <f t="shared" si="9"/>
        <v>08:10 AM</v>
      </c>
      <c r="Z9">
        <f t="shared" si="10"/>
        <v>8</v>
      </c>
      <c r="AA9">
        <v>8</v>
      </c>
      <c r="AB9">
        <f t="shared" si="11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616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s="18" t="str">
        <f t="shared" si="9"/>
        <v>05:50 PM</v>
      </c>
      <c r="Z10">
        <f t="shared" si="10"/>
        <v>17</v>
      </c>
      <c r="AA10">
        <v>9</v>
      </c>
      <c r="AB10">
        <f t="shared" si="11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594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s="18" t="str">
        <f t="shared" si="9"/>
        <v>02:35 PM</v>
      </c>
      <c r="Z11">
        <f t="shared" si="10"/>
        <v>14</v>
      </c>
      <c r="AA11">
        <v>10</v>
      </c>
      <c r="AB11">
        <f t="shared" si="11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619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s="18" t="str">
        <f t="shared" si="9"/>
        <v>06:50 AM</v>
      </c>
      <c r="Z12">
        <f t="shared" si="10"/>
        <v>6</v>
      </c>
      <c r="AA12">
        <v>11</v>
      </c>
      <c r="AB12">
        <f t="shared" si="11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1123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s="18" t="str">
        <f t="shared" si="9"/>
        <v>01:15 PM</v>
      </c>
      <c r="Z13">
        <f t="shared" si="10"/>
        <v>13</v>
      </c>
      <c r="AA13">
        <v>12</v>
      </c>
      <c r="AB13">
        <f t="shared" si="11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1072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s="18" t="str">
        <f t="shared" si="9"/>
        <v>11:45 AM</v>
      </c>
      <c r="Z14">
        <f t="shared" si="10"/>
        <v>11</v>
      </c>
      <c r="AA14">
        <v>13</v>
      </c>
      <c r="AB14">
        <f t="shared" si="11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996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s="18" t="str">
        <f t="shared" si="9"/>
        <v>10:00 AM</v>
      </c>
      <c r="Z15">
        <f t="shared" si="10"/>
        <v>10</v>
      </c>
      <c r="AA15">
        <v>14</v>
      </c>
      <c r="AB15">
        <f t="shared" si="11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906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s="18" t="str">
        <f t="shared" si="9"/>
        <v>05:30 PM</v>
      </c>
      <c r="Z16">
        <f t="shared" si="10"/>
        <v>17</v>
      </c>
      <c r="AA16">
        <v>15</v>
      </c>
      <c r="AB16">
        <f t="shared" si="11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856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s="18" t="str">
        <f t="shared" si="9"/>
        <v>07:40 AM</v>
      </c>
      <c r="Z17">
        <f t="shared" si="10"/>
        <v>7</v>
      </c>
      <c r="AA17">
        <v>16</v>
      </c>
      <c r="AB17">
        <f t="shared" si="11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724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s="18" t="str">
        <f t="shared" si="9"/>
        <v>05:15 PM</v>
      </c>
      <c r="Z18">
        <f t="shared" si="10"/>
        <v>17</v>
      </c>
      <c r="AA18">
        <v>17</v>
      </c>
      <c r="AB18">
        <f t="shared" si="11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656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s="18" t="str">
        <f t="shared" si="9"/>
        <v>05:25 PM</v>
      </c>
      <c r="Z19">
        <f t="shared" si="10"/>
        <v>17</v>
      </c>
      <c r="AA19">
        <v>18</v>
      </c>
      <c r="AB19">
        <f t="shared" si="11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578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s="18" t="str">
        <f t="shared" si="9"/>
        <v>07:00 AM</v>
      </c>
      <c r="Z20">
        <f t="shared" si="10"/>
        <v>7</v>
      </c>
      <c r="AA20">
        <v>19</v>
      </c>
      <c r="AB20">
        <f t="shared" si="11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652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s="18" t="str">
        <f t="shared" si="9"/>
        <v>05:45 PM</v>
      </c>
      <c r="Z21">
        <f t="shared" si="10"/>
        <v>17</v>
      </c>
      <c r="AA21">
        <v>20</v>
      </c>
      <c r="AB21">
        <f t="shared" si="11"/>
        <v>0</v>
      </c>
    </row>
    <row r="22" spans="1:28" x14ac:dyDescent="0.3">
      <c r="AA22">
        <v>21</v>
      </c>
      <c r="AB22">
        <f t="shared" si="11"/>
        <v>0</v>
      </c>
    </row>
    <row r="23" spans="1:28" x14ac:dyDescent="0.3">
      <c r="AA23">
        <v>22</v>
      </c>
      <c r="AB23">
        <f t="shared" si="11"/>
        <v>0</v>
      </c>
    </row>
    <row r="24" spans="1:28" x14ac:dyDescent="0.3">
      <c r="AA24">
        <v>23</v>
      </c>
      <c r="AB24">
        <f t="shared" si="11"/>
        <v>0</v>
      </c>
    </row>
    <row r="25" spans="1:28" x14ac:dyDescent="0.3">
      <c r="AA25">
        <v>24</v>
      </c>
      <c r="AB25">
        <f t="shared" si="11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46074</v>
      </c>
      <c r="R2">
        <f ca="1">DATEDIF(D2,$P$2,"D")</f>
        <v>1103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1019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946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901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826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772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720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666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616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594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619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1123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1072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996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906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856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724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656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578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Nikca Delos Santos</cp:lastModifiedBy>
  <dcterms:created xsi:type="dcterms:W3CDTF">2015-06-05T18:17:20Z</dcterms:created>
  <dcterms:modified xsi:type="dcterms:W3CDTF">2026-02-21T03:44:50Z</dcterms:modified>
</cp:coreProperties>
</file>